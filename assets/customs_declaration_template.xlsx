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100" windowHeight="14640" activeTab="1"/>
  </bookViews>
  <sheets>
    <sheet name="报关单" sheetId="1" r:id="rId1"/>
    <sheet name="发票１" sheetId="2" r:id="rId2"/>
    <sheet name="装箱单１" sheetId="3" r:id="rId3"/>
    <sheet name="申报要素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<sst xmlns="http://schemas.openxmlformats.org/spreadsheetml/2006/main" count="257" uniqueCount="175">
  <si>
    <t>中华人民共和国海关出口货物报关单</t>
  </si>
  <si>
    <t>预录入编号:</t>
  </si>
  <si>
    <t>海关编号:</t>
  </si>
  <si>
    <t>页码/页数：</t>
  </si>
  <si>
    <t>境内发货人</t>
  </si>
  <si>
    <t>出境关别</t>
  </si>
  <si>
    <t>出口日期</t>
  </si>
  <si>
    <t>申报日期</t>
  </si>
  <si>
    <t>备案号</t>
  </si>
  <si>
    <t>常州市克利斯达国际贸易有限公司</t>
  </si>
  <si>
    <t>境外收货人</t>
  </si>
  <si>
    <t>运输方式</t>
  </si>
  <si>
    <t>运输工具名称及航次号</t>
  </si>
  <si>
    <t>提运单号</t>
  </si>
  <si>
    <t>DAVID REIMER FAST (BO)</t>
  </si>
  <si>
    <t>生产销售单位</t>
  </si>
  <si>
    <t>监管方式</t>
  </si>
  <si>
    <t>征免性质</t>
  </si>
  <si>
    <t>许可证号</t>
  </si>
  <si>
    <t>一般贸易</t>
  </si>
  <si>
    <t>合同协议号</t>
  </si>
  <si>
    <t>贸易国（地区）</t>
  </si>
  <si>
    <t>运抵国（地区）</t>
  </si>
  <si>
    <t>指运港</t>
  </si>
  <si>
    <t>离境口岸</t>
  </si>
  <si>
    <t>2544260709BO</t>
  </si>
  <si>
    <t>玻利维亚</t>
  </si>
  <si>
    <t>Viru Viru / Santa Cruz</t>
  </si>
  <si>
    <t>运输包装种类</t>
  </si>
  <si>
    <t>件数</t>
  </si>
  <si>
    <t>毛重（千克）</t>
  </si>
  <si>
    <t>净重（千克）</t>
  </si>
  <si>
    <t>成交方式</t>
  </si>
  <si>
    <t>运费（金额、币制）</t>
  </si>
  <si>
    <t>保费（金额、币制）</t>
  </si>
  <si>
    <t>杂费（金额、币制）</t>
  </si>
  <si>
    <t>纸箱 / CARTON</t>
  </si>
  <si>
    <t>EXW</t>
  </si>
  <si>
    <t>随附单证及编号</t>
  </si>
  <si>
    <t>标记唛码及备注</t>
  </si>
  <si>
    <t>发票号 2544260709BO；7 CARTONS；总毛重 113.0 KGS；净重待装箱单填写后自动汇总。</t>
  </si>
  <si>
    <t>项号</t>
  </si>
  <si>
    <t>商品编号</t>
  </si>
  <si>
    <t>商品名称</t>
  </si>
  <si>
    <t>规格/备注</t>
  </si>
  <si>
    <t>数量</t>
  </si>
  <si>
    <t>分项净重</t>
  </si>
  <si>
    <t>单位</t>
  </si>
  <si>
    <t>单价</t>
  </si>
  <si>
    <t>总价</t>
  </si>
  <si>
    <t>币制</t>
  </si>
  <si>
    <t>原产国（地区）</t>
  </si>
  <si>
    <t>最终目的国（地区）</t>
  </si>
  <si>
    <t>境内货源地</t>
  </si>
  <si>
    <t>征免</t>
  </si>
  <si>
    <t>8515900090</t>
  </si>
  <si>
    <t>焊割设备配件</t>
  </si>
  <si>
    <t>Contact tips M6*28*0.8/1.0 CuCrZr; 36KD 4m; Ground Clamp 800A; 220992/220798/220857/220994</t>
  </si>
  <si>
    <t>件</t>
  </si>
  <si>
    <t>USD</t>
  </si>
  <si>
    <t>中国</t>
  </si>
  <si>
    <t>常州其他</t>
  </si>
  <si>
    <t>照章征税</t>
  </si>
  <si>
    <t>8536690000</t>
  </si>
  <si>
    <t>焊接电缆插头插座</t>
  </si>
  <si>
    <t>35-50 Plugs &amp; Sockets, Grade S Quality</t>
  </si>
  <si>
    <t>套</t>
  </si>
  <si>
    <t>8481100090</t>
  </si>
  <si>
    <t>氧气减压器</t>
  </si>
  <si>
    <t>Thread: W21.8/14</t>
  </si>
  <si>
    <t>个</t>
  </si>
  <si>
    <t>合计</t>
  </si>
  <si>
    <t>特殊关系确认：</t>
  </si>
  <si>
    <t>价格影响确认：</t>
  </si>
  <si>
    <t>支付特许权使用费确认：</t>
  </si>
  <si>
    <t>自报自缴：</t>
  </si>
  <si>
    <t>申报人员</t>
  </si>
  <si>
    <t>申报人员证号</t>
  </si>
  <si>
    <t>电话</t>
  </si>
  <si>
    <t>兹申明对以上内容承担如实申报、依法纳税之法律责任</t>
  </si>
  <si>
    <t>海关批注及签章</t>
  </si>
  <si>
    <t>Changzhou Klista International Trade Co., Ltd</t>
  </si>
  <si>
    <t>发     票</t>
  </si>
  <si>
    <t>I N V O I C E</t>
  </si>
  <si>
    <t>TO:</t>
  </si>
  <si>
    <t>发票号码</t>
  </si>
  <si>
    <t>DAVID REIMER FAST (BO)
DAVID REIMER FAST
santa Cruz Bolivia aeropuerto viru viru,
Santa Cruz de la Sierra, Santa Cruz, Bolivia, 0000</t>
  </si>
  <si>
    <t>Invoice No.</t>
  </si>
  <si>
    <t>发票日期</t>
  </si>
  <si>
    <t>2026-07-09</t>
  </si>
  <si>
    <t>Price Term</t>
  </si>
  <si>
    <t>装船口岸</t>
  </si>
  <si>
    <t>目的地</t>
  </si>
  <si>
    <t>From:</t>
  </si>
  <si>
    <t>Changzhou, China</t>
  </si>
  <si>
    <t>To:</t>
  </si>
  <si>
    <t>Santa Cruz, Bolivia</t>
  </si>
  <si>
    <t>原产国</t>
  </si>
  <si>
    <t>Origin:</t>
  </si>
  <si>
    <t>China</t>
  </si>
  <si>
    <t>Currency:</t>
  </si>
  <si>
    <t>No.</t>
  </si>
  <si>
    <t>货物描述
Descriptions</t>
  </si>
  <si>
    <t>数量
Quantities</t>
  </si>
  <si>
    <t>单价
Unit Price (USD)</t>
  </si>
  <si>
    <t>总金额
Amount (USD)</t>
  </si>
  <si>
    <t>Welding &amp; Cutting Equipment Parts
(Contact Tips M6*28*0.8/1.0mm CuCrZr; 36KD 4m Torch; Ground Clamp 800A; Shield Cup 220992; Shield 220798; Swirl Rings 220857/220994)</t>
  </si>
  <si>
    <t>Welding Cable Plugs &amp; Sockets
35-50, Grade S Quality</t>
  </si>
  <si>
    <t>Oxygen Pressure Regulator
Thread: W21.8/14</t>
  </si>
  <si>
    <t>TOTAL:</t>
  </si>
  <si>
    <t>Packing: 7 CARTONS    Gross Weight: 113.0 KGS    Net Weight: to be filled in Packing List</t>
  </si>
  <si>
    <t>装箱单</t>
  </si>
  <si>
    <t>PACKING LIST</t>
  </si>
  <si>
    <t>包装</t>
  </si>
  <si>
    <t>总件数</t>
  </si>
  <si>
    <t>Packing:</t>
  </si>
  <si>
    <t>CARTONS</t>
  </si>
  <si>
    <t>Total CTNS:</t>
  </si>
  <si>
    <t>唛头 / Carton No.</t>
  </si>
  <si>
    <t>件数
CTNS</t>
  </si>
  <si>
    <t>毛重
G.W.(KGS)</t>
  </si>
  <si>
    <t>净重
N.W.(KGS)</t>
  </si>
  <si>
    <t>体积
Volume(M3)</t>
  </si>
  <si>
    <t>CTN 1 (shared)</t>
  </si>
  <si>
    <t>ESAB style contact tip M6*28*0.8mm CuCrZr
Packing Size: 25.5 × 18 × 15 cm</t>
  </si>
  <si>
    <t>500 PCS</t>
  </si>
  <si>
    <t>ESAB style contact tip M6*28*1.0mm CuCrZr
Same carton as above</t>
  </si>
  <si>
    <t>CTN 2 (shared)</t>
  </si>
  <si>
    <t>35-50 Plugs &amp; Sockets, Grade S Quality
Packing Size: 42 × 25 × 22 cm</t>
  </si>
  <si>
    <t>50 SETS</t>
  </si>
  <si>
    <t>Shield Cup 100A (Hand Type), 220992
Same carton as above</t>
  </si>
  <si>
    <t>10 PCS</t>
  </si>
  <si>
    <t>Shield 105A, 220798
Same carton as above</t>
  </si>
  <si>
    <t>Swirl Ring 45A-85A, 220857
Same carton as above</t>
  </si>
  <si>
    <t>Swirl Ring 105A, 220994
Same carton as above</t>
  </si>
  <si>
    <t>CTN 3-4</t>
  </si>
  <si>
    <t>36KD Torch 4M
Packing Size: 44 × 39 × 35.5 cm / CTN</t>
  </si>
  <si>
    <t>CTN 5</t>
  </si>
  <si>
    <t>Ground Clamp 800A
Packing Size: 43 × 34 × 38 cm</t>
  </si>
  <si>
    <t>50 PCS</t>
  </si>
  <si>
    <t>CTN 6-7</t>
  </si>
  <si>
    <t>Oxygen Regulator, Thread: W21.8/14
Packing Size: 43 × 38 × 22 cm / CTN</t>
  </si>
  <si>
    <t>20 PCS</t>
  </si>
  <si>
    <t>Note: N.W. cells are intentionally left blank for manual entry. For shared cartons, CTNS / G.W. / Volume are shown once only on the first product line to avoid double counting.</t>
  </si>
  <si>
    <t>申报要素（按3个报关品名整理）</t>
  </si>
  <si>
    <t>一、8515900090</t>
  </si>
  <si>
    <t>商品编码</t>
  </si>
  <si>
    <t>品名</t>
  </si>
  <si>
    <t>品牌类型</t>
  </si>
  <si>
    <t>无品牌</t>
  </si>
  <si>
    <t>出口享惠情况</t>
  </si>
  <si>
    <t>无</t>
  </si>
  <si>
    <t>用途</t>
  </si>
  <si>
    <t>用于MIG焊接及等离子切割设备的导电、连接、夹持和气流控制等</t>
  </si>
  <si>
    <t>品牌（中文或外文名称）</t>
  </si>
  <si>
    <t>型号/规格</t>
  </si>
  <si>
    <t>M6*28*0.8mm CuCrZr; M6*28*1.0mm CuCrZr; 36KD 4m; Ground Clamp 800A; 220992; 220798; 220857; 220994</t>
  </si>
  <si>
    <t>申报数量</t>
  </si>
  <si>
    <t>1100 件</t>
  </si>
  <si>
    <t>申报金额</t>
  </si>
  <si>
    <t>USD 1,338.60</t>
  </si>
  <si>
    <t>备注</t>
  </si>
  <si>
    <t>包含导电嘴、36KD焊枪、地线夹、保护帽/保护罩/旋流环等；最终申报要素以报关行/海关要求为准。</t>
  </si>
  <si>
    <t/>
  </si>
  <si>
    <t>二、8536690000</t>
  </si>
  <si>
    <t>用于焊接电缆与焊接设备之间的电气连接</t>
  </si>
  <si>
    <t>额定电压</t>
  </si>
  <si>
    <t>50 套</t>
  </si>
  <si>
    <t>USD 88.00</t>
  </si>
  <si>
    <t>额定电压等缺失信息请在正式申报前确认。</t>
  </si>
  <si>
    <t>三、8481100090</t>
  </si>
  <si>
    <t>用于氧气气路减压和压力调节</t>
  </si>
  <si>
    <t>20 个</t>
  </si>
  <si>
    <t>USD 372.40</t>
  </si>
  <si>
    <t>如报关行要求阀体材质、工作压力等参数，请按产品实际参数补充。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</si>
</sst>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00"/>
    <numFmt numFmtId="178" formatCode="0.0"/>
  </numFmts>
  <fonts count="24">
    <font>
      <sz val="11"/>
      <name val="Carlito"/>
      <charset val="134"/>
    </font>
    <font>
      <b/>
      <sz val="18"/>
      <name val="Carlito"/>
      <charset val="134"/>
    </font>
    <font>
      <b/>
      <sz val="11"/>
      <name val="Carlito"/>
      <charset val="134"/>
    </font>
    <font>
      <b/>
      <sz val="13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AF0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5F6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0" fillId="0" borderId="0"/>
  </cellStyleXfs>
  <cellXfs count="30">
    <xf numFmtId="0" fontId="0" fillId="0" borderId="0" xfId="49"/>
    <xf numFmtId="0" fontId="1" fillId="0" borderId="0" xfId="49" applyNumberFormat="1" applyFont="1" applyFill="1" applyBorder="1" applyAlignment="1">
      <alignment horizontal="center" vertical="center"/>
    </xf>
    <xf numFmtId="0" fontId="2" fillId="2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wrapText="1"/>
    </xf>
    <xf numFmtId="0" fontId="0" fillId="3" borderId="0" xfId="49" applyNumberFormat="1" applyFont="1" applyFill="1" applyBorder="1" applyAlignment="1">
      <alignment wrapText="1"/>
    </xf>
    <xf numFmtId="0" fontId="3" fillId="0" borderId="0" xfId="49" applyNumberFormat="1" applyFont="1" applyFill="1" applyBorder="1" applyAlignment="1">
      <alignment horizontal="center" vertical="center"/>
    </xf>
    <xf numFmtId="0" fontId="2" fillId="4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wrapText="1"/>
    </xf>
    <xf numFmtId="176" fontId="0" fillId="0" borderId="0" xfId="49" applyNumberFormat="1" applyFont="1" applyFill="1" applyAlignment="1">
      <alignment horizontal="center" vertical="center" wrapText="1"/>
    </xf>
    <xf numFmtId="176" fontId="0" fillId="3" borderId="0" xfId="49" applyNumberFormat="1" applyFont="1" applyFill="1" applyBorder="1" applyAlignment="1">
      <alignment horizontal="center" vertical="center" wrapText="1"/>
    </xf>
    <xf numFmtId="177" fontId="0" fillId="0" borderId="0" xfId="49" applyNumberFormat="1" applyFont="1" applyFill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vertical="center" wrapText="1"/>
    </xf>
    <xf numFmtId="176" fontId="0" fillId="0" borderId="0" xfId="49" applyNumberFormat="1" applyFont="1" applyFill="1" applyBorder="1" applyAlignment="1">
      <alignment horizontal="center" vertical="center" wrapText="1"/>
    </xf>
    <xf numFmtId="177" fontId="0" fillId="0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Alignment="1">
      <alignment horizontal="center" vertical="center" wrapText="1"/>
    </xf>
    <xf numFmtId="0" fontId="2" fillId="2" borderId="0" xfId="49" applyNumberFormat="1" applyFont="1" applyFill="1" applyBorder="1" applyAlignment="1">
      <alignment horizontal="center" vertical="center" wrapText="1"/>
    </xf>
    <xf numFmtId="176" fontId="2" fillId="2" borderId="0" xfId="49" applyNumberFormat="1" applyFont="1" applyFill="1" applyBorder="1" applyAlignment="1">
      <alignment horizontal="center" vertical="center" wrapText="1"/>
    </xf>
    <xf numFmtId="177" fontId="2" fillId="2" borderId="0" xfId="49" applyNumberFormat="1" applyFont="1" applyFill="1" applyBorder="1" applyAlignment="1">
      <alignment horizontal="center" vertical="center" wrapText="1"/>
    </xf>
    <xf numFmtId="177" fontId="0" fillId="0" borderId="0" xfId="49" applyNumberFormat="1" applyFont="1" applyFill="1" applyBorder="1" applyAlignment="1">
      <alignment horizontal="center" wrapText="1"/>
    </xf>
    <xf numFmtId="4" fontId="0" fillId="0" borderId="0" xfId="49" applyNumberFormat="1" applyFont="1" applyFill="1" applyBorder="1" applyAlignment="1">
      <alignment horizontal="center" wrapText="1"/>
    </xf>
    <xf numFmtId="4" fontId="0" fillId="0" borderId="0" xfId="49" applyNumberFormat="1" applyFont="1" applyFill="1" applyBorder="1"/>
    <xf numFmtId="0" fontId="2" fillId="2" borderId="0" xfId="49" applyNumberFormat="1" applyFont="1" applyFill="1" applyBorder="1" applyAlignment="1">
      <alignment vertical="center"/>
    </xf>
    <xf numFmtId="4" fontId="2" fillId="2" borderId="0" xfId="49" applyNumberFormat="1" applyFont="1" applyFill="1" applyBorder="1" applyAlignment="1">
      <alignment vertical="center"/>
    </xf>
    <xf numFmtId="0" fontId="2" fillId="5" borderId="0" xfId="49" applyNumberFormat="1" applyFont="1" applyFill="1" applyBorder="1" applyAlignment="1">
      <alignment vertical="center" wrapText="1"/>
    </xf>
    <xf numFmtId="178" fontId="0" fillId="0" borderId="0" xfId="49" applyNumberFormat="1" applyFont="1" applyFill="1" applyBorder="1"/>
    <xf numFmtId="176" fontId="0" fillId="3" borderId="0" xfId="49" applyNumberFormat="1" applyFont="1" applyFill="1" applyBorder="1"/>
    <xf numFmtId="0" fontId="0" fillId="0" borderId="0" xfId="49" applyNumberFormat="1" applyFont="1" applyFill="1" applyBorder="1" applyAlignment="1">
      <alignment vertical="center" wrapText="1"/>
    </xf>
    <xf numFmtId="0" fontId="0" fillId="3" borderId="0" xfId="49" applyNumberFormat="1" applyFont="1" applyFill="1" applyBorder="1" applyAlignment="1">
      <alignment horizontal="center" vertical="center" wrapText="1"/>
    </xf>
    <xf numFmtId="4" fontId="0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3175</xdr:colOff>
      <xdr:row>22</xdr:row>
      <xdr:rowOff>125730</xdr:rowOff>
    </xdr:from>
    <xdr:to>
      <xdr:col>11</xdr:col>
      <xdr:colOff>1146810</xdr:colOff>
      <xdr:row>45</xdr:row>
      <xdr:rowOff>166370</xdr:rowOff>
    </xdr:to>
    <xdr:pic>
      <xdr:nvPicPr>
        <xdr:cNvPr id="2" name="图片 1" descr="扫描全能王 2026-1-10 13.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57335" y="7875270"/>
          <a:ext cx="5202555" cy="49479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3782695</xdr:colOff>
      <xdr:row>25</xdr:row>
      <xdr:rowOff>33020</xdr:rowOff>
    </xdr:from>
    <xdr:to>
      <xdr:col>5</xdr:col>
      <xdr:colOff>90170</xdr:colOff>
      <xdr:row>48</xdr:row>
      <xdr:rowOff>73660</xdr:rowOff>
    </xdr:to>
    <xdr:pic>
      <xdr:nvPicPr>
        <xdr:cNvPr id="2" name="图片 1" descr="扫描全能王 2026-1-10 13.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59935" y="7581900"/>
          <a:ext cx="5202555" cy="49479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100965</xdr:colOff>
      <xdr:row>31</xdr:row>
      <xdr:rowOff>43815</xdr:rowOff>
    </xdr:from>
    <xdr:to>
      <xdr:col>6</xdr:col>
      <xdr:colOff>726440</xdr:colOff>
      <xdr:row>54</xdr:row>
      <xdr:rowOff>84455</xdr:rowOff>
    </xdr:to>
    <xdr:pic>
      <xdr:nvPicPr>
        <xdr:cNvPr id="2" name="图片 1" descr="扫描全能王 2026-1-10 13.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00725" y="11664315"/>
          <a:ext cx="5202555" cy="49479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1998980</xdr:colOff>
      <xdr:row>36</xdr:row>
      <xdr:rowOff>41910</xdr:rowOff>
    </xdr:from>
    <xdr:to>
      <xdr:col>1</xdr:col>
      <xdr:colOff>5793740</xdr:colOff>
      <xdr:row>53</xdr:row>
      <xdr:rowOff>26670</xdr:rowOff>
    </xdr:to>
    <xdr:pic>
      <xdr:nvPicPr>
        <xdr:cNvPr id="2" name="图片 1" descr="扫描全能王 2026-1-10 13.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71620" y="11456670"/>
          <a:ext cx="3794760" cy="36118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topLeftCell="A7" workbookViewId="0">
      <selection activeCell="F25" sqref="F25"/>
    </sheetView>
  </sheetViews>
  <sheetFormatPr defaultColWidth="9" defaultRowHeight="16.8"/>
  <cols>
    <col min="1" max="1" width="8" customWidth="1"/>
    <col min="2" max="2" width="15" customWidth="1"/>
    <col min="3" max="3" width="18" customWidth="1"/>
    <col min="4" max="4" width="34" customWidth="1"/>
    <col min="5" max="5" width="10" customWidth="1"/>
    <col min="6" max="6" width="12" customWidth="1"/>
    <col min="7" max="7" width="9" customWidth="1"/>
    <col min="8" max="9" width="13" customWidth="1"/>
    <col min="10" max="10" width="9" customWidth="1"/>
    <col min="11" max="11" width="12" customWidth="1"/>
    <col min="12" max="12" width="15" customWidth="1"/>
    <col min="13" max="13" width="14" customWidth="1"/>
    <col min="14" max="14" width="12" customWidth="1"/>
  </cols>
  <sheetData>
    <row r="1" ht="32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t="s">
        <v>1</v>
      </c>
      <c r="D2" t="s">
        <v>2</v>
      </c>
      <c r="J2" t="s">
        <v>3</v>
      </c>
    </row>
    <row r="3" ht="34" spans="1:14">
      <c r="A3" s="24" t="s">
        <v>4</v>
      </c>
      <c r="B3" s="24"/>
      <c r="C3" s="24"/>
      <c r="D3" s="24"/>
      <c r="E3" s="24"/>
      <c r="F3" s="24"/>
      <c r="G3" s="24"/>
      <c r="H3" s="24" t="s">
        <v>5</v>
      </c>
      <c r="I3" s="24"/>
      <c r="J3" s="24" t="s">
        <v>6</v>
      </c>
      <c r="K3" s="24"/>
      <c r="L3" s="24" t="s">
        <v>7</v>
      </c>
      <c r="M3" s="24" t="s">
        <v>8</v>
      </c>
      <c r="N3" s="24"/>
    </row>
    <row r="4" spans="1:14">
      <c r="A4" t="s">
        <v>9</v>
      </c>
    </row>
    <row r="5" ht="34" spans="1:14">
      <c r="A5" s="24" t="s">
        <v>10</v>
      </c>
      <c r="B5" s="24"/>
      <c r="C5" s="24"/>
      <c r="D5" s="24"/>
      <c r="E5" s="24"/>
      <c r="F5" s="24"/>
      <c r="G5" s="24"/>
      <c r="H5" s="24" t="s">
        <v>11</v>
      </c>
      <c r="I5" s="24"/>
      <c r="J5" s="24" t="s">
        <v>12</v>
      </c>
      <c r="K5" s="24"/>
      <c r="L5" s="24" t="s">
        <v>13</v>
      </c>
      <c r="M5" s="24"/>
      <c r="N5" s="24"/>
    </row>
    <row r="6" spans="1:14">
      <c r="A6" t="s">
        <v>14</v>
      </c>
    </row>
    <row r="7" ht="34" spans="1:14">
      <c r="A7" s="24" t="s">
        <v>15</v>
      </c>
      <c r="B7" s="24"/>
      <c r="C7" s="24"/>
      <c r="D7" s="24"/>
      <c r="E7" s="24"/>
      <c r="F7" s="24"/>
      <c r="G7" s="24"/>
      <c r="H7" s="24" t="s">
        <v>16</v>
      </c>
      <c r="I7" s="24"/>
      <c r="J7" s="24" t="s">
        <v>17</v>
      </c>
      <c r="K7" s="24"/>
      <c r="L7" s="24" t="s">
        <v>18</v>
      </c>
      <c r="M7" s="24"/>
      <c r="N7" s="24"/>
    </row>
    <row r="8" spans="1:14">
      <c r="A8" t="s">
        <v>9</v>
      </c>
      <c r="H8" t="s">
        <v>19</v>
      </c>
    </row>
    <row r="9" ht="34" spans="1:14">
      <c r="A9" s="24" t="s">
        <v>20</v>
      </c>
      <c r="B9" s="24"/>
      <c r="C9" s="24"/>
      <c r="D9" s="24" t="s">
        <v>21</v>
      </c>
      <c r="E9" s="24"/>
      <c r="F9" s="24"/>
      <c r="G9" s="24"/>
      <c r="H9" s="24" t="s">
        <v>22</v>
      </c>
      <c r="I9" s="24"/>
      <c r="J9" s="24"/>
      <c r="K9" s="24"/>
      <c r="L9" s="24" t="s">
        <v>23</v>
      </c>
      <c r="M9" s="24" t="s">
        <v>24</v>
      </c>
      <c r="N9" s="24"/>
    </row>
    <row r="10" spans="1:14">
      <c r="A10" t="s">
        <v>25</v>
      </c>
      <c r="D10" t="s">
        <v>26</v>
      </c>
      <c r="H10" t="s">
        <v>26</v>
      </c>
      <c r="L10" t="s">
        <v>27</v>
      </c>
    </row>
    <row r="11" ht="34" spans="1:14">
      <c r="A11" s="24" t="s">
        <v>28</v>
      </c>
      <c r="B11" s="24"/>
      <c r="C11" s="24"/>
      <c r="D11" s="24" t="s">
        <v>29</v>
      </c>
      <c r="E11" s="24" t="s">
        <v>30</v>
      </c>
      <c r="F11" s="24"/>
      <c r="G11" s="24"/>
      <c r="H11" s="24" t="s">
        <v>31</v>
      </c>
      <c r="I11" s="24" t="s">
        <v>32</v>
      </c>
      <c r="J11" s="24" t="s">
        <v>33</v>
      </c>
      <c r="K11" s="24"/>
      <c r="L11" s="24" t="s">
        <v>34</v>
      </c>
      <c r="M11" s="24"/>
      <c r="N11" s="24" t="s">
        <v>35</v>
      </c>
    </row>
    <row r="12" spans="1:14">
      <c r="A12" t="s">
        <v>36</v>
      </c>
      <c r="D12">
        <v>7</v>
      </c>
      <c r="E12" s="25">
        <v>106</v>
      </c>
      <c r="H12" s="26">
        <f>IF(COUNT(装箱单１!F17:F26)=0,"",SUM(装箱单１!F17:F26))</f>
        <v>106</v>
      </c>
      <c r="I12" t="s">
        <v>37</v>
      </c>
      <c r="J12" s="21">
        <v>0</v>
      </c>
      <c r="K12" s="21"/>
      <c r="L12" s="21">
        <v>0</v>
      </c>
      <c r="M12" s="21"/>
      <c r="N12" s="21">
        <v>0</v>
      </c>
    </row>
    <row r="13" ht="34" spans="1:14">
      <c r="A13" s="24" t="s">
        <v>38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</row>
    <row r="15" ht="34" spans="1:14">
      <c r="A15" s="24" t="s">
        <v>39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</row>
    <row r="16" spans="1:14">
      <c r="A16" t="s">
        <v>40</v>
      </c>
    </row>
    <row r="17" ht="34" customHeight="1" spans="1:14">
      <c r="A17" s="6" t="s">
        <v>41</v>
      </c>
      <c r="B17" s="6" t="s">
        <v>42</v>
      </c>
      <c r="C17" s="6" t="s">
        <v>43</v>
      </c>
      <c r="D17" s="6" t="s">
        <v>44</v>
      </c>
      <c r="E17" s="6" t="s">
        <v>45</v>
      </c>
      <c r="F17" s="6" t="s">
        <v>46</v>
      </c>
      <c r="G17" s="6" t="s">
        <v>47</v>
      </c>
      <c r="H17" s="6" t="s">
        <v>48</v>
      </c>
      <c r="I17" s="6" t="s">
        <v>49</v>
      </c>
      <c r="J17" s="6" t="s">
        <v>50</v>
      </c>
      <c r="K17" s="6" t="s">
        <v>51</v>
      </c>
      <c r="L17" s="6" t="s">
        <v>52</v>
      </c>
      <c r="M17" s="6" t="s">
        <v>53</v>
      </c>
      <c r="N17" s="6" t="s">
        <v>54</v>
      </c>
    </row>
    <row r="18" ht="46" customHeight="1" spans="1:14">
      <c r="A18" s="12">
        <v>1</v>
      </c>
      <c r="B18" s="12" t="s">
        <v>55</v>
      </c>
      <c r="C18" s="27" t="s">
        <v>56</v>
      </c>
      <c r="D18" s="27" t="s">
        <v>57</v>
      </c>
      <c r="E18" s="12">
        <v>1100</v>
      </c>
      <c r="F18" s="28">
        <f>IF(COUNT(装箱单１!F17:F18,装箱单１!F20:F25)=0,"",SUM(装箱单１!F17:F18,装箱单１!F20:F25))</f>
        <v>74.4</v>
      </c>
      <c r="G18" s="12" t="s">
        <v>58</v>
      </c>
      <c r="H18" s="14">
        <f>I18/E18</f>
        <v>1.21690909090909</v>
      </c>
      <c r="I18" s="29">
        <v>1338.6</v>
      </c>
      <c r="J18" s="12" t="s">
        <v>59</v>
      </c>
      <c r="K18" s="12" t="s">
        <v>60</v>
      </c>
      <c r="L18" s="12" t="s">
        <v>26</v>
      </c>
      <c r="M18" s="12" t="s">
        <v>61</v>
      </c>
      <c r="N18" s="12" t="s">
        <v>62</v>
      </c>
    </row>
    <row r="19" ht="46" customHeight="1" spans="1:14">
      <c r="A19" s="12">
        <v>2</v>
      </c>
      <c r="B19" s="12" t="s">
        <v>63</v>
      </c>
      <c r="C19" s="27" t="s">
        <v>64</v>
      </c>
      <c r="D19" s="27" t="s">
        <v>65</v>
      </c>
      <c r="E19" s="12">
        <v>50</v>
      </c>
      <c r="F19" s="28">
        <f>IF(装箱单１!F19="","",装箱单１!F19)</f>
        <v>9.6</v>
      </c>
      <c r="G19" s="12" t="s">
        <v>66</v>
      </c>
      <c r="H19" s="14">
        <v>1.76</v>
      </c>
      <c r="I19" s="29">
        <v>88</v>
      </c>
      <c r="J19" s="12" t="s">
        <v>59</v>
      </c>
      <c r="K19" s="12" t="s">
        <v>60</v>
      </c>
      <c r="L19" s="12" t="s">
        <v>26</v>
      </c>
      <c r="M19" s="12" t="s">
        <v>61</v>
      </c>
      <c r="N19" s="12" t="s">
        <v>62</v>
      </c>
    </row>
    <row r="20" ht="46" customHeight="1" spans="1:14">
      <c r="A20" s="12">
        <v>3</v>
      </c>
      <c r="B20" s="12" t="s">
        <v>67</v>
      </c>
      <c r="C20" s="27" t="s">
        <v>68</v>
      </c>
      <c r="D20" s="27" t="s">
        <v>69</v>
      </c>
      <c r="E20" s="12">
        <v>20</v>
      </c>
      <c r="F20" s="28">
        <f>IF(装箱单１!F26="","",装箱单１!F26)</f>
        <v>22</v>
      </c>
      <c r="G20" s="12" t="s">
        <v>70</v>
      </c>
      <c r="H20" s="14">
        <v>18.62</v>
      </c>
      <c r="I20" s="29">
        <v>372.4</v>
      </c>
      <c r="J20" s="12" t="s">
        <v>59</v>
      </c>
      <c r="K20" s="12" t="s">
        <v>60</v>
      </c>
      <c r="L20" s="12" t="s">
        <v>26</v>
      </c>
      <c r="M20" s="12" t="s">
        <v>61</v>
      </c>
      <c r="N20" s="12" t="s">
        <v>62</v>
      </c>
    </row>
    <row r="21" ht="17" spans="1:14">
      <c r="A21" s="12"/>
      <c r="B21" s="27"/>
      <c r="C21" s="27" t="s">
        <v>71</v>
      </c>
      <c r="D21" s="27"/>
      <c r="E21" s="27"/>
      <c r="F21" s="27">
        <f>SUM(F18:F20)</f>
        <v>106</v>
      </c>
      <c r="G21" s="27"/>
      <c r="H21" s="27"/>
      <c r="I21" s="29">
        <f>SUM(I18:I20)</f>
        <v>1799</v>
      </c>
      <c r="J21" s="27"/>
      <c r="K21" s="27"/>
      <c r="L21" s="27"/>
      <c r="M21" s="27"/>
      <c r="N21" s="27"/>
    </row>
    <row r="22" spans="1:14">
      <c r="A22" t="s">
        <v>72</v>
      </c>
      <c r="D22" t="s">
        <v>73</v>
      </c>
      <c r="H22" t="s">
        <v>74</v>
      </c>
      <c r="L22" t="s">
        <v>75</v>
      </c>
    </row>
    <row r="23" spans="1:14">
      <c r="A23" t="s">
        <v>76</v>
      </c>
      <c r="C23" t="s">
        <v>77</v>
      </c>
      <c r="D23" t="s">
        <v>78</v>
      </c>
      <c r="H23" t="s">
        <v>79</v>
      </c>
      <c r="K23" t="s">
        <v>80</v>
      </c>
    </row>
  </sheetData>
  <mergeCells count="23">
    <mergeCell ref="A1:N1"/>
    <mergeCell ref="A4:G4"/>
    <mergeCell ref="H4:I4"/>
    <mergeCell ref="J4:K4"/>
    <mergeCell ref="L4:N4"/>
    <mergeCell ref="A6:G6"/>
    <mergeCell ref="H6:I6"/>
    <mergeCell ref="J6:K6"/>
    <mergeCell ref="L6:N6"/>
    <mergeCell ref="A8:G8"/>
    <mergeCell ref="H8:I8"/>
    <mergeCell ref="J8:K8"/>
    <mergeCell ref="L8:N8"/>
    <mergeCell ref="A10:C10"/>
    <mergeCell ref="D10:G10"/>
    <mergeCell ref="H10:K10"/>
    <mergeCell ref="M10:N10"/>
    <mergeCell ref="A12:C12"/>
    <mergeCell ref="E12:G12"/>
    <mergeCell ref="J12:K12"/>
    <mergeCell ref="L12:M12"/>
    <mergeCell ref="A14:N14"/>
    <mergeCell ref="A16:N16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D27" sqref="D27"/>
    </sheetView>
  </sheetViews>
  <sheetFormatPr defaultColWidth="9" defaultRowHeight="16.8" outlineLevelCol="4"/>
  <cols>
    <col min="1" max="1" width="9" customWidth="1"/>
    <col min="2" max="2" width="54" customWidth="1"/>
    <col min="3" max="3" width="15" customWidth="1"/>
    <col min="4" max="5" width="17" customWidth="1"/>
  </cols>
  <sheetData>
    <row r="1" ht="19.2" spans="1:5">
      <c r="A1" s="5" t="s">
        <v>9</v>
      </c>
      <c r="B1" s="5"/>
      <c r="C1" s="5"/>
      <c r="D1" s="5"/>
      <c r="E1" s="5"/>
    </row>
    <row r="2" ht="19.2" spans="1:5">
      <c r="A2" s="5" t="s">
        <v>81</v>
      </c>
      <c r="B2" s="5"/>
      <c r="C2" s="5"/>
      <c r="D2" s="5"/>
      <c r="E2" s="5"/>
    </row>
    <row r="3" ht="26" spans="1:5">
      <c r="A3" s="1" t="s">
        <v>82</v>
      </c>
      <c r="B3" s="1"/>
      <c r="C3" s="1"/>
      <c r="D3" s="1"/>
      <c r="E3" s="1"/>
    </row>
    <row r="4" ht="26" spans="1:5">
      <c r="A4" s="1" t="s">
        <v>83</v>
      </c>
      <c r="B4" s="1"/>
      <c r="C4" s="1"/>
      <c r="D4" s="1"/>
      <c r="E4" s="1"/>
    </row>
    <row r="5" spans="1:5">
      <c r="A5" t="s">
        <v>84</v>
      </c>
      <c r="C5" t="s">
        <v>85</v>
      </c>
    </row>
    <row r="6" ht="17" spans="1:5">
      <c r="A6" s="3" t="s">
        <v>86</v>
      </c>
      <c r="B6" s="3"/>
      <c r="C6" s="3" t="s">
        <v>87</v>
      </c>
      <c r="D6" s="3" t="s">
        <v>25</v>
      </c>
      <c r="E6" s="3"/>
    </row>
    <row r="7" ht="17" spans="1:5">
      <c r="A7" s="3"/>
      <c r="B7" s="3"/>
      <c r="C7" s="3" t="s">
        <v>88</v>
      </c>
      <c r="D7" s="3" t="s">
        <v>89</v>
      </c>
      <c r="E7" s="3"/>
    </row>
    <row r="8" ht="17" spans="1:5">
      <c r="A8" s="3"/>
      <c r="B8" s="3"/>
      <c r="C8" s="3" t="s">
        <v>90</v>
      </c>
      <c r="D8" s="3" t="s">
        <v>37</v>
      </c>
      <c r="E8" s="3"/>
    </row>
    <row r="9" spans="1:5">
      <c r="A9" s="3"/>
      <c r="B9" s="3"/>
      <c r="C9" s="3"/>
      <c r="D9" s="3"/>
      <c r="E9" s="3"/>
    </row>
    <row r="10" ht="17" spans="1:5">
      <c r="A10" s="3" t="s">
        <v>91</v>
      </c>
      <c r="B10" s="3"/>
      <c r="C10" s="3" t="s">
        <v>92</v>
      </c>
      <c r="D10" s="3"/>
      <c r="E10" s="3"/>
    </row>
    <row r="11" ht="17" spans="1:5">
      <c r="A11" s="3" t="s">
        <v>93</v>
      </c>
      <c r="B11" s="3" t="s">
        <v>94</v>
      </c>
      <c r="C11" s="3" t="s">
        <v>95</v>
      </c>
      <c r="D11" s="3" t="s">
        <v>96</v>
      </c>
      <c r="E11" s="3"/>
    </row>
    <row r="12" spans="1:5">
      <c r="A12" s="3"/>
      <c r="B12" s="3"/>
      <c r="C12" s="3"/>
      <c r="D12" s="3"/>
      <c r="E12" s="3"/>
    </row>
    <row r="13" ht="17" spans="1:5">
      <c r="A13" s="3" t="s">
        <v>97</v>
      </c>
      <c r="B13" s="3"/>
      <c r="C13" s="3" t="s">
        <v>50</v>
      </c>
      <c r="D13" s="3"/>
      <c r="E13" s="3"/>
    </row>
    <row r="14" ht="17" spans="1:5">
      <c r="A14" s="3" t="s">
        <v>98</v>
      </c>
      <c r="B14" s="3" t="s">
        <v>99</v>
      </c>
      <c r="C14" s="3" t="s">
        <v>100</v>
      </c>
      <c r="D14" s="3" t="s">
        <v>59</v>
      </c>
      <c r="E14" s="3"/>
    </row>
    <row r="16" ht="34" customHeight="1" spans="1:5">
      <c r="A16" s="6" t="s">
        <v>101</v>
      </c>
      <c r="B16" s="6" t="s">
        <v>102</v>
      </c>
      <c r="C16" s="6" t="s">
        <v>103</v>
      </c>
      <c r="D16" s="6" t="s">
        <v>104</v>
      </c>
      <c r="E16" s="6" t="s">
        <v>105</v>
      </c>
    </row>
    <row r="17" ht="75" customHeight="1" spans="1:5">
      <c r="A17" s="8">
        <v>1</v>
      </c>
      <c r="B17" s="3" t="s">
        <v>106</v>
      </c>
      <c r="C17" s="8">
        <v>1100</v>
      </c>
      <c r="D17" s="19">
        <f>1338.6/C17</f>
        <v>1.21690909090909</v>
      </c>
      <c r="E17" s="20">
        <f>C17*D17</f>
        <v>1338.6</v>
      </c>
    </row>
    <row r="18" ht="54" customHeight="1" spans="1:5">
      <c r="A18" s="8">
        <v>2</v>
      </c>
      <c r="B18" s="3" t="s">
        <v>107</v>
      </c>
      <c r="C18" s="8">
        <v>50</v>
      </c>
      <c r="D18" s="19">
        <v>1.76</v>
      </c>
      <c r="E18" s="20">
        <f>C18*D18</f>
        <v>88</v>
      </c>
    </row>
    <row r="19" ht="54" customHeight="1" spans="1:5">
      <c r="A19" s="8">
        <v>3</v>
      </c>
      <c r="B19" s="3" t="s">
        <v>108</v>
      </c>
      <c r="C19" s="8">
        <v>20</v>
      </c>
      <c r="D19" s="19">
        <v>18.62</v>
      </c>
      <c r="E19" s="20">
        <f>C19*D19</f>
        <v>372.4</v>
      </c>
    </row>
    <row r="20" spans="1:5">
      <c r="E20" s="21"/>
    </row>
    <row r="21" spans="1:5">
      <c r="A21" s="22" t="s">
        <v>109</v>
      </c>
      <c r="B21" s="22"/>
      <c r="C21" s="22"/>
      <c r="D21" s="22" t="s">
        <v>59</v>
      </c>
      <c r="E21" s="23">
        <f>SUM(E17:E19)</f>
        <v>1799</v>
      </c>
    </row>
    <row r="23" spans="1:5">
      <c r="A23" t="s">
        <v>110</v>
      </c>
    </row>
  </sheetData>
  <mergeCells count="10">
    <mergeCell ref="A1:E1"/>
    <mergeCell ref="A2:E2"/>
    <mergeCell ref="A3:E3"/>
    <mergeCell ref="A4:E4"/>
    <mergeCell ref="D6:E6"/>
    <mergeCell ref="D7:E7"/>
    <mergeCell ref="D8:E8"/>
    <mergeCell ref="A21:C21"/>
    <mergeCell ref="A23:E23"/>
    <mergeCell ref="A6:B8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opLeftCell="A22" workbookViewId="0">
      <selection activeCell="E37" sqref="E37"/>
    </sheetView>
  </sheetViews>
  <sheetFormatPr defaultColWidth="9" defaultRowHeight="16.8" outlineLevelCol="6"/>
  <cols>
    <col min="1" max="1" width="18" customWidth="1"/>
    <col min="2" max="2" width="48" customWidth="1"/>
    <col min="3" max="3" width="15" customWidth="1"/>
    <col min="4" max="4" width="10" customWidth="1"/>
    <col min="5" max="6" width="14" customWidth="1"/>
    <col min="7" max="7" width="15" customWidth="1"/>
  </cols>
  <sheetData>
    <row r="1" ht="19.2" spans="1:7">
      <c r="A1" s="5" t="s">
        <v>9</v>
      </c>
      <c r="B1" s="5"/>
      <c r="C1" s="5"/>
      <c r="D1" s="5"/>
      <c r="E1" s="5"/>
      <c r="F1" s="5"/>
      <c r="G1" s="5"/>
    </row>
    <row r="2" ht="19.2" spans="1:7">
      <c r="A2" s="5" t="s">
        <v>81</v>
      </c>
      <c r="B2" s="5"/>
      <c r="C2" s="5"/>
      <c r="D2" s="5"/>
      <c r="E2" s="5"/>
      <c r="F2" s="5"/>
      <c r="G2" s="5"/>
    </row>
    <row r="3" ht="26" spans="1:7">
      <c r="A3" s="1" t="s">
        <v>111</v>
      </c>
      <c r="B3" s="1"/>
      <c r="C3" s="1"/>
      <c r="D3" s="1"/>
      <c r="E3" s="1"/>
      <c r="F3" s="1"/>
      <c r="G3" s="1"/>
    </row>
    <row r="4" ht="26" spans="1:7">
      <c r="A4" s="1" t="s">
        <v>112</v>
      </c>
      <c r="B4" s="1"/>
      <c r="C4" s="1"/>
      <c r="D4" s="1"/>
      <c r="E4" s="1"/>
      <c r="F4" s="1"/>
      <c r="G4" s="1"/>
    </row>
    <row r="5" spans="1:7">
      <c r="A5" t="s">
        <v>84</v>
      </c>
      <c r="E5" t="s">
        <v>85</v>
      </c>
    </row>
    <row r="6" ht="17" spans="1:7">
      <c r="A6" s="3" t="s">
        <v>86</v>
      </c>
      <c r="B6" s="3"/>
      <c r="C6" s="3"/>
      <c r="D6" s="3"/>
      <c r="E6" s="3" t="s">
        <v>87</v>
      </c>
      <c r="F6" s="3" t="s">
        <v>25</v>
      </c>
      <c r="G6" s="3"/>
    </row>
    <row r="7" ht="17" spans="1:7">
      <c r="A7" s="3"/>
      <c r="B7" s="3"/>
      <c r="C7" s="3"/>
      <c r="D7" s="3"/>
      <c r="E7" s="3" t="s">
        <v>88</v>
      </c>
      <c r="F7" s="3" t="s">
        <v>89</v>
      </c>
      <c r="G7" s="3"/>
    </row>
    <row r="8" ht="17" spans="1:7">
      <c r="A8" s="3"/>
      <c r="B8" s="3"/>
      <c r="C8" s="3"/>
      <c r="D8" s="3"/>
      <c r="E8" s="3" t="s">
        <v>90</v>
      </c>
      <c r="F8" s="3" t="s">
        <v>37</v>
      </c>
      <c r="G8" s="3"/>
    </row>
    <row r="9" spans="1:7">
      <c r="A9" s="3"/>
      <c r="B9" s="3"/>
      <c r="C9" s="3"/>
      <c r="D9" s="3"/>
      <c r="E9" s="3"/>
      <c r="F9" s="3"/>
      <c r="G9" s="3"/>
    </row>
    <row r="10" ht="17" spans="1:7">
      <c r="A10" s="3" t="s">
        <v>91</v>
      </c>
      <c r="B10" s="3"/>
      <c r="C10" s="3"/>
      <c r="D10" s="3"/>
      <c r="E10" s="3" t="s">
        <v>92</v>
      </c>
      <c r="F10" s="3"/>
      <c r="G10" s="3"/>
    </row>
    <row r="11" ht="34" spans="1:7">
      <c r="A11" s="3" t="s">
        <v>93</v>
      </c>
      <c r="B11" s="3" t="s">
        <v>94</v>
      </c>
      <c r="C11" s="3"/>
      <c r="D11" s="3"/>
      <c r="E11" s="3" t="s">
        <v>95</v>
      </c>
      <c r="F11" s="3" t="s">
        <v>96</v>
      </c>
      <c r="G11" s="3"/>
    </row>
    <row r="12" spans="1:7">
      <c r="A12" s="3"/>
      <c r="B12" s="3"/>
      <c r="C12" s="3"/>
      <c r="D12" s="3"/>
      <c r="E12" s="3"/>
      <c r="F12" s="3"/>
      <c r="G12" s="3"/>
    </row>
    <row r="13" ht="17" spans="1:7">
      <c r="A13" s="3" t="s">
        <v>113</v>
      </c>
      <c r="B13" s="3"/>
      <c r="C13" s="3"/>
      <c r="D13" s="3"/>
      <c r="E13" s="3" t="s">
        <v>114</v>
      </c>
      <c r="F13" s="3"/>
      <c r="G13" s="3"/>
    </row>
    <row r="14" ht="17" spans="1:7">
      <c r="A14" s="3" t="s">
        <v>115</v>
      </c>
      <c r="B14" s="3" t="s">
        <v>116</v>
      </c>
      <c r="C14" s="3"/>
      <c r="D14" s="3"/>
      <c r="E14" s="3" t="s">
        <v>117</v>
      </c>
      <c r="F14" s="3">
        <v>7</v>
      </c>
      <c r="G14" s="3"/>
    </row>
    <row r="16" ht="38" customHeight="1" spans="1:7">
      <c r="A16" s="6" t="s">
        <v>118</v>
      </c>
      <c r="B16" s="6" t="s">
        <v>102</v>
      </c>
      <c r="C16" s="6" t="s">
        <v>103</v>
      </c>
      <c r="D16" s="6" t="s">
        <v>119</v>
      </c>
      <c r="E16" s="6" t="s">
        <v>120</v>
      </c>
      <c r="F16" s="6" t="s">
        <v>121</v>
      </c>
      <c r="G16" s="6" t="s">
        <v>122</v>
      </c>
    </row>
    <row r="17" ht="48" customHeight="1" spans="1:7">
      <c r="A17" s="7" t="s">
        <v>123</v>
      </c>
      <c r="B17" s="3" t="s">
        <v>124</v>
      </c>
      <c r="C17" s="8" t="s">
        <v>125</v>
      </c>
      <c r="D17" s="7">
        <v>1</v>
      </c>
      <c r="E17" s="9">
        <v>9.2</v>
      </c>
      <c r="F17" s="10">
        <v>4</v>
      </c>
      <c r="G17" s="11">
        <f>25.5*18*15/1000000</f>
        <v>0.006885</v>
      </c>
    </row>
    <row r="18" ht="48" customHeight="1" spans="1:7">
      <c r="A18" s="7"/>
      <c r="B18" s="3" t="s">
        <v>126</v>
      </c>
      <c r="C18" s="8" t="s">
        <v>125</v>
      </c>
      <c r="D18" s="7"/>
      <c r="E18" s="9"/>
      <c r="F18" s="10">
        <v>4</v>
      </c>
      <c r="G18" s="11"/>
    </row>
    <row r="19" ht="48" customHeight="1" spans="1:7">
      <c r="A19" s="7" t="s">
        <v>127</v>
      </c>
      <c r="B19" s="3" t="s">
        <v>128</v>
      </c>
      <c r="C19" s="8" t="s">
        <v>129</v>
      </c>
      <c r="D19" s="7">
        <v>1</v>
      </c>
      <c r="E19" s="9">
        <v>12.4</v>
      </c>
      <c r="F19" s="10">
        <v>9.6</v>
      </c>
      <c r="G19" s="11">
        <f>42*25*22/1000000</f>
        <v>0.0231</v>
      </c>
    </row>
    <row r="20" ht="48" customHeight="1" spans="1:7">
      <c r="A20" s="7"/>
      <c r="B20" s="3" t="s">
        <v>130</v>
      </c>
      <c r="C20" s="8" t="s">
        <v>131</v>
      </c>
      <c r="D20" s="7"/>
      <c r="E20" s="9"/>
      <c r="F20" s="10">
        <v>0.3</v>
      </c>
      <c r="G20" s="11"/>
    </row>
    <row r="21" ht="48" customHeight="1" spans="1:7">
      <c r="A21" s="7"/>
      <c r="B21" s="3" t="s">
        <v>132</v>
      </c>
      <c r="C21" s="8" t="s">
        <v>131</v>
      </c>
      <c r="D21" s="7"/>
      <c r="E21" s="9"/>
      <c r="F21" s="10">
        <v>0.3</v>
      </c>
      <c r="G21" s="11"/>
    </row>
    <row r="22" ht="48" customHeight="1" spans="1:7">
      <c r="A22" s="7"/>
      <c r="B22" s="3" t="s">
        <v>133</v>
      </c>
      <c r="C22" s="8" t="s">
        <v>131</v>
      </c>
      <c r="D22" s="7"/>
      <c r="E22" s="9"/>
      <c r="F22" s="10">
        <v>0.5</v>
      </c>
      <c r="G22" s="11"/>
    </row>
    <row r="23" ht="48" customHeight="1" spans="1:7">
      <c r="A23" s="7"/>
      <c r="B23" s="3" t="s">
        <v>134</v>
      </c>
      <c r="C23" s="8" t="s">
        <v>131</v>
      </c>
      <c r="D23" s="7"/>
      <c r="E23" s="9"/>
      <c r="F23" s="10">
        <v>0.3</v>
      </c>
      <c r="G23" s="11"/>
    </row>
    <row r="24" ht="48" customHeight="1" spans="1:7">
      <c r="A24" s="12" t="s">
        <v>135</v>
      </c>
      <c r="B24" s="3" t="s">
        <v>136</v>
      </c>
      <c r="C24" s="8" t="s">
        <v>131</v>
      </c>
      <c r="D24" s="12">
        <v>2</v>
      </c>
      <c r="E24" s="13">
        <v>37.2</v>
      </c>
      <c r="F24" s="10">
        <v>36</v>
      </c>
      <c r="G24" s="14">
        <f>2*44*39*35.5/1000000</f>
        <v>0.121836</v>
      </c>
    </row>
    <row r="25" ht="48" customHeight="1" spans="1:7">
      <c r="A25" s="12" t="s">
        <v>137</v>
      </c>
      <c r="B25" s="3" t="s">
        <v>138</v>
      </c>
      <c r="C25" s="8" t="s">
        <v>139</v>
      </c>
      <c r="D25" s="12">
        <v>1</v>
      </c>
      <c r="E25" s="13">
        <v>30.6</v>
      </c>
      <c r="F25" s="10">
        <v>29</v>
      </c>
      <c r="G25" s="14">
        <f>43*34*38/1000000</f>
        <v>0.055556</v>
      </c>
    </row>
    <row r="26" ht="48" customHeight="1" spans="1:7">
      <c r="A26" s="7" t="s">
        <v>140</v>
      </c>
      <c r="B26" s="3" t="s">
        <v>141</v>
      </c>
      <c r="C26" s="8" t="s">
        <v>142</v>
      </c>
      <c r="D26" s="12">
        <v>2</v>
      </c>
      <c r="E26" s="13">
        <v>23.6</v>
      </c>
      <c r="F26" s="10">
        <v>22</v>
      </c>
      <c r="G26" s="14">
        <f>2*43*38*22/1000000</f>
        <v>0.071896</v>
      </c>
    </row>
    <row r="27" ht="17" spans="1:7">
      <c r="A27" s="15"/>
      <c r="B27" s="2" t="s">
        <v>109</v>
      </c>
      <c r="C27" s="16"/>
      <c r="D27" s="16">
        <f>SUM(D17:D26)</f>
        <v>7</v>
      </c>
      <c r="E27" s="17">
        <f>SUM(E17:E26)</f>
        <v>113</v>
      </c>
      <c r="F27" s="17">
        <f>IF(COUNT(F17:F26)=0,"",SUM(F17:F26))</f>
        <v>106</v>
      </c>
      <c r="G27" s="18">
        <f>SUM(G17:G26)</f>
        <v>0.279273</v>
      </c>
    </row>
    <row r="29" ht="36" customHeight="1" spans="1:7">
      <c r="A29" t="s">
        <v>143</v>
      </c>
    </row>
  </sheetData>
  <mergeCells count="18">
    <mergeCell ref="A1:G1"/>
    <mergeCell ref="A2:G2"/>
    <mergeCell ref="A3:G3"/>
    <mergeCell ref="A4:G4"/>
    <mergeCell ref="F6:G6"/>
    <mergeCell ref="F7:G7"/>
    <mergeCell ref="F8:G8"/>
    <mergeCell ref="A29:G29"/>
    <mergeCell ref="A17:A18"/>
    <mergeCell ref="A19:A23"/>
    <mergeCell ref="A26:A27"/>
    <mergeCell ref="D17:D18"/>
    <mergeCell ref="D19:D23"/>
    <mergeCell ref="E17:E18"/>
    <mergeCell ref="E19:E23"/>
    <mergeCell ref="G17:G18"/>
    <mergeCell ref="G19:G23"/>
    <mergeCell ref="A6:D8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topLeftCell="A33" workbookViewId="0">
      <selection activeCell="E54" sqref="E54"/>
    </sheetView>
  </sheetViews>
  <sheetFormatPr defaultColWidth="9" defaultRowHeight="16.8" outlineLevelCol="1"/>
  <cols>
    <col min="1" max="1" width="24" customWidth="1"/>
    <col min="2" max="2" width="72" customWidth="1"/>
  </cols>
  <sheetData>
    <row r="1" ht="32" customHeight="1" spans="1:2">
      <c r="A1" s="1" t="s">
        <v>144</v>
      </c>
      <c r="B1" s="1"/>
    </row>
    <row r="2" ht="25" customHeight="1" spans="1:2">
      <c r="A2" s="2" t="s">
        <v>145</v>
      </c>
      <c r="B2" s="2" t="s">
        <v>56</v>
      </c>
    </row>
    <row r="3" ht="25" customHeight="1" spans="1:2">
      <c r="A3" s="3" t="s">
        <v>146</v>
      </c>
      <c r="B3" s="3" t="s">
        <v>55</v>
      </c>
    </row>
    <row r="4" ht="25" customHeight="1" spans="1:2">
      <c r="A4" s="3" t="s">
        <v>147</v>
      </c>
      <c r="B4" s="3" t="s">
        <v>56</v>
      </c>
    </row>
    <row r="5" ht="25" customHeight="1" spans="1:2">
      <c r="A5" s="3" t="s">
        <v>148</v>
      </c>
      <c r="B5" s="3" t="s">
        <v>149</v>
      </c>
    </row>
    <row r="6" ht="25" customHeight="1" spans="1:2">
      <c r="A6" s="3" t="s">
        <v>150</v>
      </c>
      <c r="B6" s="3" t="s">
        <v>151</v>
      </c>
    </row>
    <row r="7" ht="25" customHeight="1" spans="1:2">
      <c r="A7" s="3" t="s">
        <v>152</v>
      </c>
      <c r="B7" s="3" t="s">
        <v>153</v>
      </c>
    </row>
    <row r="8" ht="25" customHeight="1" spans="1:2">
      <c r="A8" s="3" t="s">
        <v>154</v>
      </c>
      <c r="B8" s="3" t="s">
        <v>149</v>
      </c>
    </row>
    <row r="9" ht="25" customHeight="1" spans="1:2">
      <c r="A9" s="3" t="s">
        <v>155</v>
      </c>
      <c r="B9" s="3" t="s">
        <v>156</v>
      </c>
    </row>
    <row r="10" ht="25" customHeight="1" spans="1:2">
      <c r="A10" s="3" t="s">
        <v>157</v>
      </c>
      <c r="B10" s="3" t="s">
        <v>158</v>
      </c>
    </row>
    <row r="11" ht="25" customHeight="1" spans="1:2">
      <c r="A11" s="3" t="s">
        <v>159</v>
      </c>
      <c r="B11" s="3" t="s">
        <v>160</v>
      </c>
    </row>
    <row r="12" ht="25" customHeight="1" spans="1:2">
      <c r="A12" s="3" t="s">
        <v>161</v>
      </c>
      <c r="B12" s="3" t="s">
        <v>162</v>
      </c>
    </row>
    <row r="13" ht="25" customHeight="1" spans="1:2">
      <c r="A13" s="3" t="s">
        <v>163</v>
      </c>
      <c r="B13" s="3" t="s">
        <v>163</v>
      </c>
    </row>
    <row r="14" ht="25" customHeight="1" spans="1:2">
      <c r="A14" s="2" t="s">
        <v>164</v>
      </c>
      <c r="B14" s="2" t="s">
        <v>64</v>
      </c>
    </row>
    <row r="15" ht="25" customHeight="1" spans="1:2">
      <c r="A15" s="3" t="s">
        <v>146</v>
      </c>
      <c r="B15" s="3" t="s">
        <v>63</v>
      </c>
    </row>
    <row r="16" ht="25" customHeight="1" spans="1:2">
      <c r="A16" s="3" t="s">
        <v>147</v>
      </c>
      <c r="B16" s="3" t="s">
        <v>64</v>
      </c>
    </row>
    <row r="17" ht="25" customHeight="1" spans="1:2">
      <c r="A17" s="3" t="s">
        <v>148</v>
      </c>
      <c r="B17" s="3" t="s">
        <v>149</v>
      </c>
    </row>
    <row r="18" ht="25" customHeight="1" spans="1:2">
      <c r="A18" s="3" t="s">
        <v>150</v>
      </c>
      <c r="B18" s="3" t="s">
        <v>151</v>
      </c>
    </row>
    <row r="19" ht="25" customHeight="1" spans="1:2">
      <c r="A19" s="3" t="s">
        <v>152</v>
      </c>
      <c r="B19" s="3" t="s">
        <v>165</v>
      </c>
    </row>
    <row r="20" ht="25" customHeight="1" spans="1:2">
      <c r="A20" s="3" t="s">
        <v>155</v>
      </c>
      <c r="B20" s="3" t="s">
        <v>65</v>
      </c>
    </row>
    <row r="21" ht="25" customHeight="1" spans="1:2">
      <c r="A21" s="3" t="s">
        <v>166</v>
      </c>
      <c r="B21" s="4" t="s">
        <v>163</v>
      </c>
    </row>
    <row r="22" ht="25" customHeight="1" spans="1:2">
      <c r="A22" s="3" t="s">
        <v>157</v>
      </c>
      <c r="B22" s="3" t="s">
        <v>167</v>
      </c>
    </row>
    <row r="23" ht="25" customHeight="1" spans="1:2">
      <c r="A23" s="3" t="s">
        <v>159</v>
      </c>
      <c r="B23" s="3" t="s">
        <v>168</v>
      </c>
    </row>
    <row r="24" ht="25" customHeight="1" spans="1:2">
      <c r="A24" s="3" t="s">
        <v>161</v>
      </c>
      <c r="B24" s="3" t="s">
        <v>169</v>
      </c>
    </row>
    <row r="25" ht="25" customHeight="1" spans="1:2">
      <c r="A25" s="3" t="s">
        <v>163</v>
      </c>
      <c r="B25" s="3" t="s">
        <v>163</v>
      </c>
    </row>
    <row r="26" ht="25" customHeight="1" spans="1:2">
      <c r="A26" s="2" t="s">
        <v>170</v>
      </c>
      <c r="B26" s="2" t="s">
        <v>68</v>
      </c>
    </row>
    <row r="27" ht="25" customHeight="1" spans="1:2">
      <c r="A27" s="3" t="s">
        <v>146</v>
      </c>
      <c r="B27" s="3" t="s">
        <v>67</v>
      </c>
    </row>
    <row r="28" ht="25" customHeight="1" spans="1:2">
      <c r="A28" s="3" t="s">
        <v>147</v>
      </c>
      <c r="B28" s="3" t="s">
        <v>68</v>
      </c>
    </row>
    <row r="29" ht="25" customHeight="1" spans="1:2">
      <c r="A29" s="3" t="s">
        <v>148</v>
      </c>
      <c r="B29" s="3" t="s">
        <v>149</v>
      </c>
    </row>
    <row r="30" ht="25" customHeight="1" spans="1:2">
      <c r="A30" s="3" t="s">
        <v>150</v>
      </c>
      <c r="B30" s="3" t="s">
        <v>151</v>
      </c>
    </row>
    <row r="31" ht="25" customHeight="1" spans="1:2">
      <c r="A31" s="3" t="s">
        <v>152</v>
      </c>
      <c r="B31" s="3" t="s">
        <v>171</v>
      </c>
    </row>
    <row r="32" ht="25" customHeight="1" spans="1:2">
      <c r="A32" s="3" t="s">
        <v>155</v>
      </c>
      <c r="B32" s="3" t="s">
        <v>69</v>
      </c>
    </row>
    <row r="33" ht="25" customHeight="1" spans="1:2">
      <c r="A33" s="3" t="s">
        <v>157</v>
      </c>
      <c r="B33" s="3" t="s">
        <v>172</v>
      </c>
    </row>
    <row r="34" ht="25" customHeight="1" spans="1:2">
      <c r="A34" s="3" t="s">
        <v>159</v>
      </c>
      <c r="B34" s="3" t="s">
        <v>173</v>
      </c>
    </row>
    <row r="35" ht="25" customHeight="1" spans="1:2">
      <c r="A35" s="3" t="s">
        <v>161</v>
      </c>
      <c r="B35" s="3" t="s">
        <v>174</v>
      </c>
    </row>
  </sheetData>
  <mergeCells count="1">
    <mergeCell ref="A1:B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报关单</vt:lpstr>
      <vt:lpstr>发票１</vt:lpstr>
      <vt:lpstr>装箱单１</vt:lpstr>
      <vt:lpstr>申报要素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fantastic~</cp:lastModifiedBy>
  <dcterms:created xsi:type="dcterms:W3CDTF">2026-08-27T01:12:00Z</dcterms:created>
  <dcterms:modified xsi:type="dcterms:W3CDTF">2026-08-27T14:14:44Z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FAE1C8F0E565A2CA0EAE8E6AECD4AD97_42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